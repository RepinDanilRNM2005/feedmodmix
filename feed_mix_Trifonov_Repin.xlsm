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lex\Desktop\Учеба10\Инженерные расчеты\1.3 супер\"/>
    </mc:Choice>
  </mc:AlternateContent>
  <bookViews>
    <workbookView xWindow="0" yWindow="0" windowWidth="20490" windowHeight="7620"/>
  </bookViews>
  <sheets>
    <sheet name="Лист1" sheetId="1" r:id="rId1"/>
  </sheets>
  <functionGroups builtInGroupCount="18"/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4" i="1" l="1"/>
  <c r="K32" i="1"/>
  <c r="K31" i="1"/>
  <c r="D35" i="1"/>
  <c r="H25" i="1"/>
  <c r="D36" i="1"/>
  <c r="D34" i="1"/>
  <c r="H27" i="1"/>
  <c r="E36" i="1"/>
  <c r="H28" i="1"/>
  <c r="E35" i="1"/>
  <c r="E34" i="1"/>
  <c r="H21" i="1"/>
  <c r="H23" i="1"/>
  <c r="G34" i="1" l="1"/>
  <c r="G36" i="1"/>
  <c r="G35" i="1"/>
  <c r="H26" i="1"/>
  <c r="H24" i="1"/>
  <c r="H22" i="1"/>
</calcChain>
</file>

<file path=xl/sharedStrings.xml><?xml version="1.0" encoding="utf-8"?>
<sst xmlns="http://schemas.openxmlformats.org/spreadsheetml/2006/main" count="36" uniqueCount="28">
  <si>
    <t>q_liq_sm3day</t>
  </si>
  <si>
    <t>fw_perc</t>
  </si>
  <si>
    <t>rp_m3m3</t>
  </si>
  <si>
    <t>mu_feed_cp</t>
  </si>
  <si>
    <t>Поток</t>
  </si>
  <si>
    <t>плотность нефти</t>
  </si>
  <si>
    <t>плотность газа</t>
  </si>
  <si>
    <t>давление</t>
  </si>
  <si>
    <t>температура</t>
  </si>
  <si>
    <t>смесь</t>
  </si>
  <si>
    <t>масса нефти</t>
  </si>
  <si>
    <t>Свойство</t>
  </si>
  <si>
    <t>для расхода</t>
  </si>
  <si>
    <t>плотность воды</t>
  </si>
  <si>
    <t>масса воды</t>
  </si>
  <si>
    <t>масса газа</t>
  </si>
  <si>
    <t>вязкость, сП</t>
  </si>
  <si>
    <t>расход жидкости, м3/сут</t>
  </si>
  <si>
    <t>газосодержание, м3/м3</t>
  </si>
  <si>
    <t>обводненность, %</t>
  </si>
  <si>
    <t>газовый фактор, м3/м3</t>
  </si>
  <si>
    <t>gamma_gas</t>
  </si>
  <si>
    <t>gamma_wat</t>
  </si>
  <si>
    <t>rsb_m3m3</t>
  </si>
  <si>
    <t>feed1</t>
  </si>
  <si>
    <t>feed2</t>
  </si>
  <si>
    <t>gamma_oil</t>
  </si>
  <si>
    <t>MIX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</si>
</sst>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Fill="1" applyBorder="1" applyAlignment="1">
      <alignment vertical="center"/>
    </xf>
    <xf numFmtId="0" fontId="0" fillId="0" borderId="1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2" fontId="0" fillId="0" borderId="1" xfId="0" applyNumberFormat="1" applyBorder="1"/>
    <xf numFmtId="0" fontId="2" fillId="2" borderId="1" xfId="1" applyBorder="1"/>
    <xf numFmtId="164" fontId="0" fillId="0" borderId="1" xfId="0" applyNumberFormat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4" borderId="1" xfId="0" applyFill="1" applyBorder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5" borderId="1" xfId="0" applyFill="1" applyBorder="1"/>
    <xf numFmtId="0" fontId="0" fillId="0" borderId="0" xfId="0" applyFill="1"/>
  </cellXfs>
  <cellStyles count="2">
    <cellStyle name="20% — акцент1" xfId="1" builtinId="30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435927</xdr:colOff>
      <xdr:row>12</xdr:row>
      <xdr:rowOff>142875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89365" cy="2428875"/>
        </a:xfrm>
        <a:prstGeom prst="rect">
          <a:avLst/>
        </a:prstGeom>
      </xdr:spPr>
    </xdr:pic>
    <xdr:clientData/>
  </xdr:twoCellAnchor>
  <xdr:twoCellAnchor editAs="oneCell">
    <xdr:from>
      <xdr:col>9</xdr:col>
      <xdr:colOff>349704</xdr:colOff>
      <xdr:row>17</xdr:row>
      <xdr:rowOff>93890</xdr:rowOff>
    </xdr:from>
    <xdr:to>
      <xdr:col>15</xdr:col>
      <xdr:colOff>396866</xdr:colOff>
      <xdr:row>23</xdr:row>
      <xdr:rowOff>141366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2311" y="3332390"/>
          <a:ext cx="3721091" cy="119047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unifloc_vba-master\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js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9:K36"/>
  <sheetViews>
    <sheetView tabSelected="1" zoomScale="70" zoomScaleNormal="70" workbookViewId="0">
      <selection activeCell="K34" sqref="K34"/>
    </sheetView>
  </sheetViews>
  <sheetFormatPr defaultRowHeight="15" x14ac:dyDescent="0.25"/>
  <cols>
    <col min="2" max="2" width="15.7109375" bestFit="1" customWidth="1"/>
    <col min="3" max="3" width="23.85546875" bestFit="1" customWidth="1"/>
    <col min="7" max="7" width="10.5703125" bestFit="1" customWidth="1"/>
    <col min="8" max="8" width="12.7109375" bestFit="1" customWidth="1"/>
  </cols>
  <sheetData>
    <row r="19" spans="3:11" x14ac:dyDescent="0.25">
      <c r="E19" s="14" t="s">
        <v>4</v>
      </c>
      <c r="F19" s="15"/>
    </row>
    <row r="20" spans="3:11" x14ac:dyDescent="0.25">
      <c r="C20" s="5" t="s">
        <v>11</v>
      </c>
      <c r="E20" s="6">
        <v>1</v>
      </c>
      <c r="G20" s="6">
        <v>2</v>
      </c>
      <c r="H20" s="6" t="s">
        <v>9</v>
      </c>
    </row>
    <row r="21" spans="3:11" x14ac:dyDescent="0.25">
      <c r="C21" s="12" t="s">
        <v>5</v>
      </c>
      <c r="D21" t="s">
        <v>26</v>
      </c>
      <c r="E21" s="1">
        <v>0.86</v>
      </c>
      <c r="F21" t="s">
        <v>26</v>
      </c>
      <c r="G21" s="1">
        <v>0.9</v>
      </c>
      <c r="H21" s="7">
        <f>rho_oil_mix(D34,E34,E21,G21)</f>
        <v>0.88537480420675763</v>
      </c>
    </row>
    <row r="22" spans="3:11" x14ac:dyDescent="0.25">
      <c r="C22" s="12" t="s">
        <v>6</v>
      </c>
      <c r="D22" t="s">
        <v>21</v>
      </c>
      <c r="E22" s="1">
        <v>0.7</v>
      </c>
      <c r="F22" t="s">
        <v>21</v>
      </c>
      <c r="G22" s="1">
        <v>0.5</v>
      </c>
      <c r="H22" s="7">
        <f>rho_gas_mix(D36,E36,E22,G22)</f>
        <v>0.59822294022617117</v>
      </c>
    </row>
    <row r="23" spans="3:11" x14ac:dyDescent="0.25">
      <c r="C23" s="13" t="s">
        <v>13</v>
      </c>
      <c r="D23" t="s">
        <v>22</v>
      </c>
      <c r="E23" s="2">
        <v>1.05</v>
      </c>
      <c r="F23" t="s">
        <v>22</v>
      </c>
      <c r="G23" s="2">
        <v>1.08</v>
      </c>
      <c r="H23" s="8">
        <f>rho_water_mix(D35,E35,E23,G23)</f>
        <v>1.0734782608695652</v>
      </c>
      <c r="I23" s="17"/>
    </row>
    <row r="24" spans="3:11" x14ac:dyDescent="0.25">
      <c r="C24" s="11" t="s">
        <v>17</v>
      </c>
      <c r="D24" t="s">
        <v>0</v>
      </c>
      <c r="E24" s="1">
        <v>20</v>
      </c>
      <c r="F24" t="s">
        <v>0</v>
      </c>
      <c r="G24" s="1">
        <v>35</v>
      </c>
      <c r="H24" s="10">
        <f>q_liq_mix(H21,H23,G34,G35)</f>
        <v>54.975190724747684</v>
      </c>
      <c r="I24" s="17"/>
    </row>
    <row r="25" spans="3:11" x14ac:dyDescent="0.25">
      <c r="C25" s="11" t="s">
        <v>18</v>
      </c>
      <c r="D25" t="s">
        <v>23</v>
      </c>
      <c r="E25" s="1">
        <v>15</v>
      </c>
      <c r="F25" t="s">
        <v>23</v>
      </c>
      <c r="G25" s="1">
        <v>30</v>
      </c>
      <c r="H25" s="7">
        <f>gas_content_mix(E24,G24,E25,G25,E27,G27)</f>
        <v>24.356435643564357</v>
      </c>
    </row>
    <row r="26" spans="3:11" x14ac:dyDescent="0.25">
      <c r="C26" s="3" t="s">
        <v>16</v>
      </c>
      <c r="D26" t="s">
        <v>3</v>
      </c>
      <c r="E26" s="2">
        <v>15</v>
      </c>
      <c r="F26" t="s">
        <v>3</v>
      </c>
      <c r="G26" s="2">
        <v>20</v>
      </c>
      <c r="H26" s="8">
        <f>mu_mix(E26,G26,D34,E34,G34)</f>
        <v>18.060333523885443</v>
      </c>
      <c r="I26" s="17"/>
    </row>
    <row r="27" spans="3:11" x14ac:dyDescent="0.25">
      <c r="C27" s="11" t="s">
        <v>19</v>
      </c>
      <c r="D27" t="s">
        <v>1</v>
      </c>
      <c r="E27" s="2">
        <v>5</v>
      </c>
      <c r="F27" t="s">
        <v>1</v>
      </c>
      <c r="G27" s="2">
        <v>10</v>
      </c>
      <c r="H27" s="8">
        <f>wf_mix(E27,G27,E24,G24)</f>
        <v>8.1818181818181817</v>
      </c>
    </row>
    <row r="28" spans="3:11" x14ac:dyDescent="0.25">
      <c r="C28" s="3" t="s">
        <v>20</v>
      </c>
      <c r="D28" t="s">
        <v>2</v>
      </c>
      <c r="E28" s="4">
        <v>40</v>
      </c>
      <c r="F28" t="s">
        <v>2</v>
      </c>
      <c r="G28" s="4">
        <v>35</v>
      </c>
      <c r="H28" s="8">
        <f>gas_factor_mix(E24,G24,E28,G28,E27,G27)</f>
        <v>36.881188118811885</v>
      </c>
    </row>
    <row r="31" spans="3:11" x14ac:dyDescent="0.25">
      <c r="C31" s="2" t="s">
        <v>7</v>
      </c>
      <c r="D31" s="2"/>
      <c r="E31" s="2"/>
      <c r="J31" s="16" t="s">
        <v>24</v>
      </c>
      <c r="K31" s="2" t="str">
        <f>[1]!encode_json(D21:E28)</f>
        <v>{"gamma_oil":0.86,"gamma_gas":0.7,"gamma_wat":1.05,"q_liq_sm3day":20,"rsb_m3m3":15,"mu_feed_cp":15,"fw_perc":5,"rp_m3m3":40}</v>
      </c>
    </row>
    <row r="32" spans="3:11" x14ac:dyDescent="0.25">
      <c r="C32" s="2" t="s">
        <v>8</v>
      </c>
      <c r="D32" s="2">
        <v>50</v>
      </c>
      <c r="E32" s="2">
        <v>52</v>
      </c>
      <c r="J32" s="16" t="s">
        <v>25</v>
      </c>
      <c r="K32" s="2" t="str">
        <f>[1]!encode_json(F21:G28)</f>
        <v>{"gamma_oil":0.9,"gamma_gas":0.5,"gamma_wat":1.08,"q_liq_sm3day":35,"rsb_m3m3":30,"mu_feed_cp":20,"fw_perc":10,"rp_m3m3":35}</v>
      </c>
    </row>
    <row r="34" spans="2:11" x14ac:dyDescent="0.25">
      <c r="B34" t="s">
        <v>12</v>
      </c>
      <c r="C34" s="9" t="s">
        <v>10</v>
      </c>
      <c r="D34" s="2">
        <f>mass_oil_i(E21,E27,E24)</f>
        <v>16.34</v>
      </c>
      <c r="E34" s="2">
        <f>mass_oil_i(G21,G27,G24)</f>
        <v>28.35</v>
      </c>
      <c r="F34" s="2"/>
      <c r="G34" s="2">
        <f>SUM(D34:E34)</f>
        <v>44.69</v>
      </c>
      <c r="J34" s="16" t="s">
        <v>27</v>
      </c>
      <c r="K34" t="str">
        <f>feed_mod_mix1(K31,K32)</f>
        <v>{"gamma_gas":0.598222940226171,"gamma_oil":0.885374804206758,"gamma_wat":1.07347826086957,"rsb_m3m3":24.3564356435644,"muob_cP":18.0603335238854,"q_liq_sm3day":54.9751907247477,"fw_perc":8.18181818181818,"rp_m3m3":36.8811881188119}</v>
      </c>
    </row>
    <row r="35" spans="2:11" x14ac:dyDescent="0.25">
      <c r="C35" s="9" t="s">
        <v>14</v>
      </c>
      <c r="D35" s="4">
        <f>mass_water_i(E23,E27,E24)</f>
        <v>1.05</v>
      </c>
      <c r="E35" s="4">
        <f>mass_water_i(G23,G27,G24)</f>
        <v>3.7800000000000002</v>
      </c>
      <c r="F35" s="2"/>
      <c r="G35" s="2">
        <f>SUM(D35:E35)</f>
        <v>4.83</v>
      </c>
    </row>
    <row r="36" spans="2:11" x14ac:dyDescent="0.25">
      <c r="C36" s="9" t="s">
        <v>15</v>
      </c>
      <c r="D36" s="2">
        <f>mass_gas_i(E22,E27,E24,E25,E28)</f>
        <v>532</v>
      </c>
      <c r="E36" s="2">
        <f>mass_gas_i(G22,G27,G24,G25,G28)</f>
        <v>551.25</v>
      </c>
      <c r="F36" s="2"/>
      <c r="G36" s="2">
        <f>SUM(D36:E36)</f>
        <v>1083.25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2021-04-18T17:49:27Z</dcterms:created>
  <dcterms:modified xsi:type="dcterms:W3CDTF">2021-05-25T17:35:03Z</dcterms:modified>
</cp:coreProperties>
</file>